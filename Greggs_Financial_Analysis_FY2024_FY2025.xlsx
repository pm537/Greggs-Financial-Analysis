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omputingservices-my.sharepoint.com/personal/pjm78_bath_ac_uk/Documents/"/>
    </mc:Choice>
  </mc:AlternateContent>
  <xr:revisionPtr revIDLastSave="12" documentId="8_{35C00BB4-B3C8-4A9D-AE51-0DC0236E107F}" xr6:coauthVersionLast="47" xr6:coauthVersionMax="47" xr10:uidLastSave="{C6F36CD5-AF48-4F9E-B923-0EEB2FB3206D}"/>
  <bookViews>
    <workbookView xWindow="-98" yWindow="-98" windowWidth="21795" windowHeight="12975" xr2:uid="{20ABA7DF-5BB0-4339-A17E-01AE5AB5F5FA}"/>
  </bookViews>
  <sheets>
    <sheet name="Company Overview" sheetId="1" r:id="rId1"/>
    <sheet name="Financial Statements" sheetId="2" r:id="rId2"/>
    <sheet name="Ratio Analysis" sheetId="3" r:id="rId3"/>
    <sheet name="Earnings Quality" sheetId="4" r:id="rId4"/>
    <sheet name="Audit Risk" sheetId="5" r:id="rId5"/>
  </sheets>
  <definedNames>
    <definedName name="_xlnm._FilterDatabase" localSheetId="0" hidden="1">'Company Overview'!$A$1:$C$19</definedName>
    <definedName name="_xlnm.Print_Area" localSheetId="4">'Audit Risk'!$A$1:$D$22</definedName>
    <definedName name="_xlnm.Print_Area" localSheetId="0">'Company Overview'!$A$1:$B$19</definedName>
    <definedName name="_xlnm.Print_Area" localSheetId="3">'Earnings Quality'!$A$1:$C$33</definedName>
    <definedName name="_xlnm.Print_Area" localSheetId="1">'Financial Statements'!$A$1:$C$51</definedName>
    <definedName name="_xlnm.Print_Area" localSheetId="2">'Ratio Analysis'!$A$1:$C$25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 i="5" l="1"/>
  <c r="C10" i="5"/>
  <c r="C9" i="5"/>
  <c r="B9" i="5"/>
  <c r="C8" i="5"/>
  <c r="B8" i="5"/>
  <c r="C28" i="4"/>
  <c r="C27" i="4"/>
  <c r="B27" i="4"/>
  <c r="C24" i="4"/>
  <c r="C25" i="4"/>
  <c r="C26" i="4"/>
  <c r="B25" i="4"/>
  <c r="B26" i="4"/>
  <c r="B24" i="4"/>
  <c r="C20" i="4"/>
  <c r="B20" i="4"/>
  <c r="C18" i="4"/>
  <c r="B18" i="4"/>
  <c r="C17" i="4"/>
  <c r="B17" i="4"/>
  <c r="C16" i="4"/>
  <c r="B16" i="4"/>
  <c r="C15" i="4"/>
  <c r="B15" i="4"/>
  <c r="C14" i="4"/>
  <c r="B14" i="4"/>
  <c r="C13" i="4"/>
  <c r="C19" i="4" s="1"/>
  <c r="B13" i="4"/>
  <c r="B19" i="4" s="1"/>
  <c r="C8" i="4"/>
  <c r="B8" i="4"/>
  <c r="C7" i="4"/>
  <c r="B7" i="4"/>
  <c r="B9" i="4" s="1"/>
  <c r="C6" i="4"/>
  <c r="B6" i="4"/>
  <c r="C5" i="4"/>
  <c r="B5" i="4"/>
  <c r="C20" i="3"/>
  <c r="C22" i="3" s="1"/>
  <c r="B20" i="3"/>
  <c r="B22" i="3" s="1"/>
  <c r="B23" i="3" s="1"/>
  <c r="B12" i="3"/>
  <c r="C12" i="3" s="1"/>
  <c r="B17" i="3"/>
  <c r="C17" i="3" s="1"/>
  <c r="B16" i="3"/>
  <c r="C16" i="3" s="1"/>
  <c r="B15" i="3"/>
  <c r="C15" i="3" s="1"/>
  <c r="B14" i="3"/>
  <c r="C14" i="3" s="1"/>
  <c r="B13" i="3"/>
  <c r="C13" i="3" s="1"/>
  <c r="C9" i="3"/>
  <c r="B9" i="3"/>
  <c r="C8" i="3"/>
  <c r="B8" i="3"/>
  <c r="C7" i="3"/>
  <c r="B7" i="3"/>
  <c r="C6" i="3"/>
  <c r="B6" i="3"/>
  <c r="C5" i="3"/>
  <c r="C21" i="4" l="1"/>
  <c r="B21" i="4"/>
  <c r="B10" i="4"/>
  <c r="C9" i="4"/>
  <c r="C10" i="4" s="1"/>
  <c r="C23" i="3"/>
  <c r="C24" i="3"/>
</calcChain>
</file>

<file path=xl/sharedStrings.xml><?xml version="1.0" encoding="utf-8"?>
<sst xmlns="http://schemas.openxmlformats.org/spreadsheetml/2006/main" count="206" uniqueCount="154">
  <si>
    <t>Revenue</t>
  </si>
  <si>
    <t>Cost of sales</t>
  </si>
  <si>
    <t>Gross profit</t>
  </si>
  <si>
    <t>Distribution &amp; selling costs</t>
  </si>
  <si>
    <t>Administrative expenses</t>
  </si>
  <si>
    <t>Operating profit</t>
  </si>
  <si>
    <t>Finance income</t>
  </si>
  <si>
    <t>Finance expense</t>
  </si>
  <si>
    <t>Profit before tax</t>
  </si>
  <si>
    <t>Income tax</t>
  </si>
  <si>
    <t>Net profit</t>
  </si>
  <si>
    <t>Property, plant &amp; equipment</t>
  </si>
  <si>
    <t>Right-of-use assets</t>
  </si>
  <si>
    <t>Inventories</t>
  </si>
  <si>
    <t>Trade &amp; other receivables</t>
  </si>
  <si>
    <t>Cash &amp; cash equivalents</t>
  </si>
  <si>
    <t>Total assets</t>
  </si>
  <si>
    <t>Trade &amp; other payables</t>
  </si>
  <si>
    <t>Current lease liabilities</t>
  </si>
  <si>
    <t>Non-current lease liabilities</t>
  </si>
  <si>
    <t>Total liabilities</t>
  </si>
  <si>
    <t>Net assets</t>
  </si>
  <si>
    <t>Cash generated from operations</t>
  </si>
  <si>
    <t>Net cash from operating activities</t>
  </si>
  <si>
    <t>Purchase of PPE / capex</t>
  </si>
  <si>
    <t>Purchase of intangible assets</t>
  </si>
  <si>
    <t>Dividends paid</t>
  </si>
  <si>
    <t>Closing cash</t>
  </si>
  <si>
    <t>Company</t>
  </si>
  <si>
    <t>Greggs plc</t>
  </si>
  <si>
    <t>Stock ticker</t>
  </si>
  <si>
    <t>GRG</t>
  </si>
  <si>
    <t>Industry</t>
  </si>
  <si>
    <t>Headquarters</t>
  </si>
  <si>
    <t>Newcastle upon Tyne, UK</t>
  </si>
  <si>
    <t>Main operations</t>
  </si>
  <si>
    <t>Annual Report and Accounts 2025</t>
  </si>
  <si>
    <t>External auditor</t>
  </si>
  <si>
    <t>RSM UK Audit LLP</t>
  </si>
  <si>
    <t>Item</t>
  </si>
  <si>
    <t>Information</t>
  </si>
  <si>
    <t>COMPANY INFORMATION</t>
  </si>
  <si>
    <t>GREGGS PLC</t>
  </si>
  <si>
    <t xml:space="preserve">INCOME STATEMENT </t>
  </si>
  <si>
    <t>£ million</t>
  </si>
  <si>
    <t>FY2024</t>
  </si>
  <si>
    <t>FY2025</t>
  </si>
  <si>
    <t>BALANCE SHEET</t>
  </si>
  <si>
    <t xml:space="preserve">CASH FLOW STATEMENT </t>
  </si>
  <si>
    <t>Other income</t>
  </si>
  <si>
    <t>Selected Historical Financial Data | £m</t>
  </si>
  <si>
    <t>Company Overview | FY2024-FY2025</t>
  </si>
  <si>
    <t>BUSINESS OVERVIEW</t>
  </si>
  <si>
    <t>OBJECTIVES OF THE ANALYSIS</t>
  </si>
  <si>
    <t>Ratio &amp; Trend Analysis | FY2024-FY2025</t>
  </si>
  <si>
    <t>PROFITABILITY &amp; CASH GENERATION</t>
  </si>
  <si>
    <t>Financial ratio</t>
  </si>
  <si>
    <t>N/A</t>
  </si>
  <si>
    <t>Revenue growth</t>
  </si>
  <si>
    <t>Gross profit margin</t>
  </si>
  <si>
    <t>Operating profit margin</t>
  </si>
  <si>
    <t>Net profit margin</t>
  </si>
  <si>
    <t>Operating cash conversion</t>
  </si>
  <si>
    <t xml:space="preserve">Financial item </t>
  </si>
  <si>
    <t>Change (£m)</t>
  </si>
  <si>
    <t xml:space="preserve">Administrative expenses </t>
  </si>
  <si>
    <t>Change (%)</t>
  </si>
  <si>
    <t>YEAR-ON-YEAR COST &amp; PROFIT MOVEMENTS</t>
  </si>
  <si>
    <t xml:space="preserve">UNDERLYING OPERATING PERFORMANCE </t>
  </si>
  <si>
    <t>Statutory operating profit (£m)</t>
  </si>
  <si>
    <t>Exceptional impact (£m)</t>
  </si>
  <si>
    <t>Underlying operating profit (£m)</t>
  </si>
  <si>
    <t>Underlying operating margin</t>
  </si>
  <si>
    <t>Underlying operating profit growth</t>
  </si>
  <si>
    <t>CASH GENERATION &amp; CAPITAL INVESTMENT</t>
  </si>
  <si>
    <t xml:space="preserve">Total capital investment </t>
  </si>
  <si>
    <t xml:space="preserve">Cash flow after capital investment </t>
  </si>
  <si>
    <t>Purchase of PPE / CAPEX</t>
  </si>
  <si>
    <t>PROFIT-TO-CASH RECONCILIATION</t>
  </si>
  <si>
    <t>Depreciation &amp; amortisation</t>
  </si>
  <si>
    <t>Income tax &amp; net finance expense adjustments</t>
  </si>
  <si>
    <t>Amortisation</t>
  </si>
  <si>
    <t>Depreciation of PPE</t>
  </si>
  <si>
    <t>Depreciation of right-of-use assets</t>
  </si>
  <si>
    <t>Increase in inventories</t>
  </si>
  <si>
    <t>Increase in receivables</t>
  </si>
  <si>
    <t>Increase in payables</t>
  </si>
  <si>
    <t>Net impairment charge - PPE</t>
  </si>
  <si>
    <t>Impairment charge - right-of-use assets</t>
  </si>
  <si>
    <t>OPERATING CASH FLOW RECONCILIATION - SUPPORTING DATA</t>
  </si>
  <si>
    <t>Other reconciling adjustments (excluding impairment)</t>
  </si>
  <si>
    <t>Tax and net interest cash flows</t>
  </si>
  <si>
    <t>Impairment adjustments</t>
  </si>
  <si>
    <t>Net working capital adjustments</t>
  </si>
  <si>
    <t>Financial item (£m)</t>
  </si>
  <si>
    <t>WORKING CAPITAL ANALYSIS</t>
  </si>
  <si>
    <t>EARNINGS QUALITY ASSESSMENT</t>
  </si>
  <si>
    <t>Year-on-year change in working capital adjustments</t>
  </si>
  <si>
    <t>Audit Risk Analysis | FY2025</t>
  </si>
  <si>
    <t>AUDIT OVERVIEW AND MATERIALITY</t>
  </si>
  <si>
    <t>Financial item (£m unless otherwise stated)</t>
  </si>
  <si>
    <t>Group overall materiality</t>
  </si>
  <si>
    <t>Group performance materiality</t>
  </si>
  <si>
    <t>Reporting threshold to Audit Committee</t>
  </si>
  <si>
    <t>Audit relevance</t>
  </si>
  <si>
    <t>AUDIT REPORT CONTEXT</t>
  </si>
  <si>
    <t xml:space="preserve">External auditor </t>
  </si>
  <si>
    <t>Audit opinion</t>
  </si>
  <si>
    <t>Key audit matter</t>
  </si>
  <si>
    <t>Unmodified audit opinion</t>
  </si>
  <si>
    <t>Recoverability of shop-based assets</t>
  </si>
  <si>
    <t>AUDIT RISKS &amp; PROPOSED PROCEDURES</t>
  </si>
  <si>
    <t>Risk area</t>
  </si>
  <si>
    <t>Significance</t>
  </si>
  <si>
    <t xml:space="preserve">Potential misstatement </t>
  </si>
  <si>
    <t>Proposed audit procedures</t>
  </si>
  <si>
    <t>Revenue recognition and cut-off</t>
  </si>
  <si>
    <t>Capital expenditure classification</t>
  </si>
  <si>
    <t>AUDIT RISK CONCLUSION</t>
  </si>
  <si>
    <t xml:space="preserve">UK bakery and ready-made food retailer, responsible for manufacturing and distribution operations.  </t>
  </si>
  <si>
    <t>Bakery / Food retail</t>
  </si>
  <si>
    <t>Sources: Greggs plc, Annual Report and Accounts 2025.</t>
  </si>
  <si>
    <t xml:space="preserve">2. Cash generation: net operating cash flow increased from £318.6m to £337.0m, despite the lower profit, supported partly by larger adjustments for non-cash expenses and higher payables. The cash benefit from higher payables may not recur, thus the increase in net operating cash flow may not also represent improved earnings quality. </t>
  </si>
  <si>
    <t>3. Capital investment: Cash remaining after capital investment fell from £77.7m to £51.6m, as the increase in investment exceeded the rise in operating cash flow. These amounts are before lease principal payments and dividends.</t>
  </si>
  <si>
    <t xml:space="preserve">Lower threshold used in planning and performing the audit to reduce the risk of multiple uncorrected and undetected misstatements together exceeding overall materiality. </t>
  </si>
  <si>
    <t xml:space="preserve">Threshold set by RSM to assess whether misstatements, individually or together, could reasonably influence the decisions of users of the financial statements. </t>
  </si>
  <si>
    <t>Threshold above which RSM reports identified misstatements to Greggs' Audit Committee. Smaller misstatements may also be reported based on their nature.</t>
  </si>
  <si>
    <t>Greggs' significant PPE balance could be overstated if depreciation or impairment losses are understated.</t>
  </si>
  <si>
    <t>Greggs' significant right-of-use asset balance could be overstated if impairment losses on leased shops are understated.</t>
  </si>
  <si>
    <t>Impairment losses depend on management's forecasts of shop sales, costs and resulting cash flows. Overly optimistic assumptions could understate impairment losses and overstate assets and profit.</t>
  </si>
  <si>
    <t>Greggs holds significant balances of PPE and right-of-use assets. Assessing their recoverability depends on estimates of future cash flows and profitability, which rely on assumptions made by management, introducing uncertainty.</t>
  </si>
  <si>
    <t xml:space="preserve">Greggs reported £2,151.2m in revenue during FY2025. Given this high volume of sales transactions, accurate recording and recognition in the correct accounting period are important. </t>
  </si>
  <si>
    <t xml:space="preserve">1. Examine a sample of sales immediately before and after year end to check that they were recorded in the correct period.
2. Compare sales in the accounting records with till and payment records to check accuracy. 
3. Compare accounting entries for sales to other businesses with invoices, delivery records and sales terms to check that revenue was recognised in the correct accounting period. </t>
  </si>
  <si>
    <t>1. Inspect invoices and supporting records for selected asset additions and operating expenses to establish what the spending relates to.
2. Check whether these costs meet the criteria for capitalisation and were correctly recorded as assets or expenses. 
3. Check that depreciation started when the assets became available for use.</t>
  </si>
  <si>
    <t>Greggs spent £263.3m purchasing PPE in FY2025. This high level of spending makes it important to distinguish costs that should be recorded as assets from those that should be recognised as operating expenses.</t>
  </si>
  <si>
    <t>Recording routine operating costs as assets could overstate non-current assets and profit. Conversely, recording qualifying capital expenditure as an expense could understate both.</t>
  </si>
  <si>
    <t>FY2024 and FY2025</t>
  </si>
  <si>
    <t>Financial years analysed</t>
  </si>
  <si>
    <t>Source annual report</t>
  </si>
  <si>
    <t xml:space="preserve">2. Evaluate cash generation and capital investment, and examine the relationship between reported profit and operating cash flow. </t>
  </si>
  <si>
    <t>1. Assess changes in Greggs' financial performance and financial position between FY2024 and FY2025.</t>
  </si>
  <si>
    <t>3. Identify financial reporting risks and propose appropriate audit procedures.</t>
  </si>
  <si>
    <t>Earnings Quality Analysis | FY2024-FY2025</t>
  </si>
  <si>
    <t xml:space="preserve">1. Profitability: Net profit fell from £153.4m to £122.2m despite revenue growth. However, exceptional items affected the comparison, so this decline doesn’t entirely reflect weaker normal trading. </t>
  </si>
  <si>
    <t xml:space="preserve">1. Compare previous forecasts with actual shop performance to assess forecasting accuracy. 
2. Compare forecasts of costs and sales as well as assumed discount rates with recent shop performance and market data to assess their credibility. 
3. Check the impairment model's input values and formulas to identify errors in the calculation of recoverable amounts. 
4. Reduce forecast sales and increase forecast costs in the model to assess whether worse shop performance would require additional impairment losses. </t>
  </si>
  <si>
    <t xml:space="preserve">Revenue and profit could be understated or overstated if sales are recorded in the wrong accounting period, particularly significant around year end. </t>
  </si>
  <si>
    <t>Recoverability of shop-based assets is the main focus of this audit analysis and was the key audit matter reported by RSM. Assessing these assets relies on forecasts of future shop performance, which involve uncertainty. This report also considers revenue recognition and capital expenditure classification due to the large volume of sales and scale of investment. Errors could misstate assets and profit, misclassify expenses or place revenue in the wrong accounting period. The proposed procedures focus on checking forecast assumptions, testing revenue recording and assessing whether expenditure should be capitalised or expensed.</t>
  </si>
  <si>
    <t>Greggs plc, Annual Report and Accounts 2025, pp121-124 and 128-133</t>
  </si>
  <si>
    <t xml:space="preserve">Source: Greggs plc, Annual Report and Accounts 2025, pp128, 132 and 148. </t>
  </si>
  <si>
    <t>Source: Greggs plc, Annual Report and Accounts 2025, pp128 and 132-133.</t>
  </si>
  <si>
    <t xml:space="preserve">Note: Selected balance-sheet items are shown. Total assets and total liabilities include balances not displayed. </t>
  </si>
  <si>
    <t>Overly optimistic forecasts could result in insufficient impairment losses being recognised, overstating the recorded value of shop-based assets and reported profit.</t>
  </si>
  <si>
    <t xml:space="preserve">Source: Greggs plc, Annual Report and Accounts 2025. Income statement: p128. Balance sheet: p129. Cash flow statement: p132. Cash flow reconciliation: p133. </t>
  </si>
  <si>
    <t xml:space="preserve">Greggs plc is a UK-based bakery and ready-made food retailer that specialises in freshly prepared products, including sandwiches, sausage rolls, pastries and hot drinks. The company operated 2,739 retail stores across the UK as of the 2025 financial year-end, including company-managed and franchised shops, supported by its vertically integrated supply chain, which encompasses manufacturing and distribution. Its financial performance is influenced by sales volumes, food and labour costs, production and property expenses, as well as store expansion and investment in manufacturing and logistics infrastructure.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</si>
</sst>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
    <numFmt numFmtId="167" formatCode="\+0.0"/>
    <numFmt numFmtId="168" formatCode="\+0.0;\-0.0;#,#00"/>
    <numFmt numFmtId="169" formatCode="\+0.0%;\-0.0%;0.0%"/>
    <numFmt numFmtId="170" formatCode="\+0.0;\-0.0;0"/>
    <numFmt numFmtId="171" formatCode="\+0.0;\-0.0;0.0"/>
    <numFmt numFmtId="172" formatCode="0.000"/>
    <numFmt numFmtId="173" formatCode="000.0"/>
  </numFmts>
  <fonts count="12" x14ac:knownFonts="1">
    <font>
      <sz val="11"/>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b/>
      <sz val="16"/>
      <color theme="0"/>
      <name val="Aptos Narrow"/>
      <family val="2"/>
      <scheme val="minor"/>
    </font>
    <font>
      <sz val="11"/>
      <color theme="3"/>
      <name val="Aptos Narrow"/>
      <family val="2"/>
      <scheme val="minor"/>
    </font>
    <font>
      <b/>
      <sz val="9"/>
      <color theme="1"/>
      <name val="Aptos Narrow"/>
      <family val="2"/>
      <scheme val="minor"/>
    </font>
    <font>
      <sz val="9"/>
      <color theme="0"/>
      <name val="Aptos Narrow"/>
      <family val="2"/>
      <scheme val="minor"/>
    </font>
    <font>
      <sz val="11"/>
      <color theme="2" tint="-0.749992370372631"/>
      <name val="Aptos Narrow"/>
      <family val="2"/>
      <scheme val="minor"/>
    </font>
    <font>
      <i/>
      <sz val="9"/>
      <color theme="2" tint="-0.499984740745262"/>
      <name val="Aptos Narrow"/>
      <family val="2"/>
      <scheme val="minor"/>
    </font>
    <font>
      <b/>
      <sz val="9"/>
      <color theme="0"/>
      <name val="Aptos Narrow"/>
      <family val="2"/>
      <scheme val="minor"/>
    </font>
    <font>
      <i/>
      <sz val="9"/>
      <color theme="1" tint="0.499984740745262"/>
      <name val="Aptos Narrow"/>
      <family val="2"/>
      <scheme val="minor"/>
    </font>
  </fonts>
  <fills count="6">
    <fill>
      <patternFill patternType="none"/>
    </fill>
    <fill>
      <patternFill patternType="gray125"/>
    </fill>
    <fill>
      <patternFill patternType="solid">
        <fgColor theme="3"/>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ck">
        <color indexed="64"/>
      </top>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4" fontId="0" fillId="0" borderId="0" xfId="0" applyNumberFormat="1" applyAlignment="1">
      <alignment horizontal="right" vertical="center" wrapText="1"/>
    </xf>
    <xf numFmtId="0" fontId="3" fillId="0" borderId="0" xfId="0" applyFont="1"/>
    <xf numFmtId="0" fontId="0" fillId="3" borderId="0" xfId="0" applyFill="1"/>
    <xf numFmtId="0" fontId="3" fillId="3" borderId="0" xfId="0" applyFont="1" applyFill="1"/>
    <xf numFmtId="0" fontId="2" fillId="3" borderId="0" xfId="0" applyFont="1" applyFill="1"/>
    <xf numFmtId="0" fontId="5" fillId="3" borderId="0" xfId="0" applyFont="1" applyFill="1"/>
    <xf numFmtId="0" fontId="2" fillId="3" borderId="0" xfId="0" applyFont="1" applyFill="1" applyAlignment="1">
      <alignment vertical="center" wrapText="1"/>
    </xf>
    <xf numFmtId="164" fontId="2" fillId="3" borderId="0" xfId="0" applyNumberFormat="1" applyFont="1" applyFill="1"/>
    <xf numFmtId="0" fontId="0" fillId="5" borderId="0" xfId="0" applyFill="1"/>
    <xf numFmtId="0" fontId="0" fillId="5" borderId="0" xfId="0" applyFill="1" applyAlignment="1">
      <alignment vertical="center" wrapText="1"/>
    </xf>
    <xf numFmtId="165" fontId="0" fillId="5" borderId="0" xfId="0" applyNumberFormat="1" applyFill="1" applyAlignment="1">
      <alignment horizontal="right" vertical="center" wrapText="1"/>
    </xf>
    <xf numFmtId="0" fontId="3" fillId="5" borderId="2" xfId="0" applyFont="1" applyFill="1" applyBorder="1" applyAlignment="1">
      <alignment vertical="center" wrapText="1"/>
    </xf>
    <xf numFmtId="165" fontId="3" fillId="5" borderId="2" xfId="0" applyNumberFormat="1" applyFont="1" applyFill="1" applyBorder="1" applyAlignment="1">
      <alignment horizontal="right" vertical="center" wrapText="1"/>
    </xf>
    <xf numFmtId="0" fontId="0" fillId="3" borderId="0" xfId="0" applyFill="1" applyAlignment="1">
      <alignment horizontal="left" vertical="center" wrapText="1"/>
    </xf>
    <xf numFmtId="0" fontId="0" fillId="3" borderId="0" xfId="0" applyFill="1" applyAlignment="1">
      <alignment horizontal="right" vertical="center" wrapText="1"/>
    </xf>
    <xf numFmtId="0" fontId="0" fillId="5" borderId="0" xfId="0" applyFill="1" applyAlignment="1">
      <alignment horizontal="left" vertical="center" wrapText="1"/>
    </xf>
    <xf numFmtId="4" fontId="0" fillId="5" borderId="0" xfId="0" applyNumberFormat="1" applyFill="1" applyAlignment="1">
      <alignment horizontal="left" vertical="center" wrapText="1"/>
    </xf>
    <xf numFmtId="0" fontId="3" fillId="4" borderId="1" xfId="0" applyFont="1" applyFill="1" applyBorder="1" applyAlignment="1">
      <alignment horizontal="left" vertical="center" wrapText="1"/>
    </xf>
    <xf numFmtId="4" fontId="3" fillId="4" borderId="1" xfId="0" applyNumberFormat="1" applyFont="1" applyFill="1" applyBorder="1" applyAlignment="1">
      <alignment horizontal="left" vertical="center" wrapText="1"/>
    </xf>
    <xf numFmtId="0" fontId="8" fillId="5" borderId="0" xfId="0" applyFont="1" applyFill="1" applyAlignment="1">
      <alignment horizontal="left" vertical="center" wrapText="1"/>
    </xf>
    <xf numFmtId="0" fontId="6" fillId="4" borderId="1" xfId="0" applyFont="1" applyFill="1" applyBorder="1" applyAlignment="1">
      <alignment horizontal="left" vertical="center" wrapText="1"/>
    </xf>
    <xf numFmtId="0" fontId="3" fillId="4" borderId="1" xfId="0" applyFont="1" applyFill="1" applyBorder="1" applyAlignment="1">
      <alignment horizontal="right" vertical="center" wrapText="1"/>
    </xf>
    <xf numFmtId="164" fontId="3" fillId="4" borderId="1" xfId="0" applyNumberFormat="1" applyFont="1" applyFill="1" applyBorder="1" applyAlignment="1">
      <alignment horizontal="right" vertical="center" wrapText="1"/>
    </xf>
    <xf numFmtId="0" fontId="3" fillId="4" borderId="1" xfId="0" applyFont="1" applyFill="1" applyBorder="1"/>
    <xf numFmtId="0" fontId="3" fillId="4" borderId="1" xfId="0" applyFont="1" applyFill="1" applyBorder="1" applyAlignment="1">
      <alignment horizontal="right" vertical="top"/>
    </xf>
    <xf numFmtId="0" fontId="0" fillId="5" borderId="0" xfId="0" applyFill="1" applyAlignment="1">
      <alignment horizontal="right" vertical="top"/>
    </xf>
    <xf numFmtId="166" fontId="0" fillId="5" borderId="0" xfId="1" applyNumberFormat="1" applyFont="1" applyFill="1" applyAlignment="1">
      <alignment horizontal="right" vertical="top"/>
    </xf>
    <xf numFmtId="0" fontId="0" fillId="3" borderId="0" xfId="0" applyFill="1" applyAlignment="1">
      <alignment horizontal="right" vertical="top"/>
    </xf>
    <xf numFmtId="168" fontId="0" fillId="5" borderId="0" xfId="0" applyNumberFormat="1" applyFill="1" applyAlignment="1">
      <alignment horizontal="right" vertical="top"/>
    </xf>
    <xf numFmtId="169" fontId="0" fillId="5" borderId="0" xfId="1" applyNumberFormat="1" applyFont="1" applyFill="1" applyAlignment="1">
      <alignment horizontal="right" vertical="top"/>
    </xf>
    <xf numFmtId="0" fontId="3" fillId="5" borderId="2" xfId="0" applyFont="1" applyFill="1" applyBorder="1"/>
    <xf numFmtId="168" fontId="3" fillId="5" borderId="2" xfId="0" applyNumberFormat="1" applyFont="1" applyFill="1" applyBorder="1" applyAlignment="1">
      <alignment horizontal="right" vertical="top"/>
    </xf>
    <xf numFmtId="169" fontId="3" fillId="5" borderId="2" xfId="1" applyNumberFormat="1" applyFont="1" applyFill="1" applyBorder="1" applyAlignment="1">
      <alignment horizontal="right" vertical="top"/>
    </xf>
    <xf numFmtId="0" fontId="3" fillId="0" borderId="2" xfId="0" applyFont="1" applyBorder="1"/>
    <xf numFmtId="0" fontId="0" fillId="0" borderId="0" xfId="0" applyAlignment="1">
      <alignment horizontal="left" vertical="top" wrapText="1"/>
    </xf>
    <xf numFmtId="164" fontId="0" fillId="5" borderId="0" xfId="0" applyNumberFormat="1" applyFill="1"/>
    <xf numFmtId="170" fontId="0" fillId="5" borderId="0" xfId="0" applyNumberFormat="1" applyFill="1"/>
    <xf numFmtId="171" fontId="0" fillId="5" borderId="0" xfId="0" applyNumberFormat="1" applyFill="1"/>
    <xf numFmtId="171" fontId="3" fillId="5" borderId="2" xfId="0" applyNumberFormat="1" applyFont="1" applyFill="1" applyBorder="1"/>
    <xf numFmtId="164" fontId="3" fillId="0" borderId="2" xfId="0" applyNumberFormat="1" applyFont="1" applyBorder="1"/>
    <xf numFmtId="171" fontId="3" fillId="5" borderId="2" xfId="0" applyNumberFormat="1" applyFont="1" applyFill="1" applyBorder="1" applyAlignment="1">
      <alignment horizontal="right"/>
    </xf>
    <xf numFmtId="0" fontId="0" fillId="4" borderId="1" xfId="0" applyFill="1" applyBorder="1"/>
    <xf numFmtId="0" fontId="0" fillId="0" borderId="0" xfId="0" applyAlignment="1">
      <alignment horizontal="left" vertical="top"/>
    </xf>
    <xf numFmtId="0" fontId="11" fillId="0" borderId="0" xfId="0" applyFont="1"/>
    <xf numFmtId="4" fontId="0" fillId="0" borderId="0" xfId="0" applyNumberFormat="1" applyAlignment="1">
      <alignment horizontal="right" vertical="top"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wrapText="1"/>
    </xf>
    <xf numFmtId="0" fontId="3" fillId="4" borderId="1" xfId="0" applyFont="1" applyFill="1" applyBorder="1" applyAlignment="1">
      <alignment horizontal="left" indent="1"/>
    </xf>
    <xf numFmtId="0" fontId="0" fillId="0" borderId="0" xfId="0" applyAlignment="1">
      <alignment horizontal="right" vertical="top"/>
    </xf>
    <xf numFmtId="2" fontId="0" fillId="0" borderId="0" xfId="0" applyNumberFormat="1" applyAlignment="1">
      <alignment horizontal="right" vertical="top"/>
    </xf>
    <xf numFmtId="164" fontId="0" fillId="0" borderId="0" xfId="0" applyNumberFormat="1" applyAlignment="1">
      <alignment horizontal="right" vertical="top"/>
    </xf>
    <xf numFmtId="172" fontId="0" fillId="0" borderId="0" xfId="0" applyNumberFormat="1" applyAlignment="1">
      <alignment horizontal="right" vertical="top"/>
    </xf>
    <xf numFmtId="173" fontId="0" fillId="0" borderId="0" xfId="0" applyNumberFormat="1" applyAlignment="1">
      <alignment horizontal="right" vertical="top"/>
    </xf>
    <xf numFmtId="0" fontId="0" fillId="0" borderId="0" xfId="0" applyAlignment="1">
      <alignment horizontal="left" vertical="top" wrapText="1" indent="1"/>
    </xf>
    <xf numFmtId="0" fontId="9" fillId="5" borderId="0" xfId="0" applyFont="1" applyFill="1"/>
    <xf numFmtId="0" fontId="11" fillId="5" borderId="0" xfId="0" applyFont="1" applyFill="1"/>
    <xf numFmtId="167" fontId="0" fillId="5" borderId="0" xfId="0" applyNumberFormat="1" applyFill="1"/>
    <xf numFmtId="166" fontId="0" fillId="5" borderId="0" xfId="1" applyNumberFormat="1" applyFont="1" applyFill="1"/>
    <xf numFmtId="0" fontId="3" fillId="5" borderId="2" xfId="0" applyFont="1" applyFill="1" applyBorder="1" applyAlignment="1">
      <alignment horizontal="right"/>
    </xf>
    <xf numFmtId="166" fontId="3" fillId="5" borderId="2" xfId="1" applyNumberFormat="1" applyFont="1" applyFill="1" applyBorder="1"/>
    <xf numFmtId="0" fontId="0" fillId="5" borderId="0" xfId="0" applyFill="1" applyAlignment="1">
      <alignment horizontal="left" vertical="top" wrapText="1"/>
    </xf>
    <xf numFmtId="0" fontId="4" fillId="2" borderId="0" xfId="0" applyFont="1" applyFill="1" applyAlignment="1">
      <alignment horizontal="left"/>
    </xf>
    <xf numFmtId="0" fontId="7" fillId="2" borderId="0" xfId="0" applyFont="1" applyFill="1" applyAlignment="1">
      <alignment horizontal="left"/>
    </xf>
    <xf numFmtId="0" fontId="0" fillId="5" borderId="0" xfId="0" applyFill="1" applyAlignment="1">
      <alignment horizontal="left"/>
    </xf>
    <xf numFmtId="0" fontId="10" fillId="2" borderId="0" xfId="0" applyFont="1" applyFill="1" applyAlignment="1">
      <alignment horizontal="left"/>
    </xf>
    <xf numFmtId="0" fontId="0" fillId="0" borderId="0" xfId="0" applyAlignment="1">
      <alignment horizontal="left" vertical="top" wrapText="1"/>
    </xf>
    <xf numFmtId="0" fontId="9" fillId="5" borderId="0" xfId="0" applyFont="1" applyFill="1"/>
    <xf numFmtId="0" fontId="9" fillId="5" borderId="0" xfId="0" applyFont="1" applyFill="1" applyAlignment="1">
      <alignment vertical="top" wrapText="1"/>
    </xf>
    <xf numFmtId="0" fontId="9" fillId="5" borderId="0" xfId="0" applyFont="1" applyFill="1" applyAlignment="1">
      <alignment horizontal="left"/>
    </xf>
    <xf numFmtId="0" fontId="9" fillId="0" borderId="0" xfId="0" applyFont="1" applyAlignment="1">
      <alignment horizontal="left"/>
    </xf>
    <xf numFmtId="0" fontId="2" fillId="3" borderId="0" xfId="0" applyFont="1" applyFill="1" applyAlignment="1">
      <alignment horizontal="left" vertic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9120-9462-474F-BD46-07AC8DC02748}">
  <sheetPr>
    <pageSetUpPr fitToPage="1"/>
  </sheetPr>
  <dimension ref="A1:D31"/>
  <sheetViews>
    <sheetView tabSelected="1" zoomScaleNormal="100" workbookViewId="0">
      <selection activeCell="A14" sqref="A14:B14"/>
    </sheetView>
  </sheetViews>
  <sheetFormatPr defaultColWidth="21.796875" defaultRowHeight="14.25" x14ac:dyDescent="0.45"/>
  <cols>
    <col min="1" max="1" width="30.59765625" customWidth="1"/>
    <col min="2" max="2" width="40.59765625" customWidth="1"/>
  </cols>
  <sheetData>
    <row r="1" spans="1:4" ht="28.15" customHeight="1" x14ac:dyDescent="0.65">
      <c r="A1" s="67" t="s">
        <v>42</v>
      </c>
      <c r="B1" s="67"/>
    </row>
    <row r="2" spans="1:4" x14ac:dyDescent="0.45">
      <c r="A2" s="70" t="s">
        <v>51</v>
      </c>
      <c r="B2" s="70"/>
    </row>
    <row r="3" spans="1:4" x14ac:dyDescent="0.45">
      <c r="A3" s="8" t="s">
        <v>41</v>
      </c>
      <c r="B3" s="7"/>
    </row>
    <row r="4" spans="1:4" x14ac:dyDescent="0.45">
      <c r="A4" s="22" t="s">
        <v>39</v>
      </c>
      <c r="B4" s="23" t="s">
        <v>40</v>
      </c>
      <c r="C4" s="5"/>
    </row>
    <row r="5" spans="1:4" x14ac:dyDescent="0.45">
      <c r="A5" s="24" t="s">
        <v>28</v>
      </c>
      <c r="B5" s="20" t="s">
        <v>29</v>
      </c>
      <c r="C5" s="2"/>
    </row>
    <row r="6" spans="1:4" x14ac:dyDescent="0.45">
      <c r="A6" s="24" t="s">
        <v>30</v>
      </c>
      <c r="B6" s="21" t="s">
        <v>31</v>
      </c>
      <c r="C6" s="5"/>
    </row>
    <row r="7" spans="1:4" x14ac:dyDescent="0.45">
      <c r="A7" s="24" t="s">
        <v>32</v>
      </c>
      <c r="B7" s="20" t="s">
        <v>120</v>
      </c>
      <c r="C7" s="5"/>
    </row>
    <row r="8" spans="1:4" x14ac:dyDescent="0.45">
      <c r="A8" s="24" t="s">
        <v>33</v>
      </c>
      <c r="B8" s="20" t="s">
        <v>34</v>
      </c>
      <c r="C8" s="2"/>
    </row>
    <row r="9" spans="1:4" ht="42.75" x14ac:dyDescent="0.45">
      <c r="A9" s="24" t="s">
        <v>35</v>
      </c>
      <c r="B9" s="20" t="s">
        <v>119</v>
      </c>
      <c r="C9" s="2"/>
    </row>
    <row r="10" spans="1:4" x14ac:dyDescent="0.45">
      <c r="A10" s="24" t="s">
        <v>137</v>
      </c>
      <c r="B10" s="20" t="s">
        <v>136</v>
      </c>
      <c r="C10" s="2"/>
    </row>
    <row r="11" spans="1:4" x14ac:dyDescent="0.45">
      <c r="A11" s="24" t="s">
        <v>138</v>
      </c>
      <c r="B11" s="20" t="s">
        <v>36</v>
      </c>
      <c r="C11" s="2"/>
    </row>
    <row r="12" spans="1:4" x14ac:dyDescent="0.45">
      <c r="A12" s="24" t="s">
        <v>37</v>
      </c>
      <c r="B12" s="20" t="s">
        <v>38</v>
      </c>
      <c r="C12" s="2"/>
    </row>
    <row r="13" spans="1:4" x14ac:dyDescent="0.45">
      <c r="A13" s="9" t="s">
        <v>52</v>
      </c>
      <c r="B13" s="18"/>
    </row>
    <row r="14" spans="1:4" ht="114.4" customHeight="1" x14ac:dyDescent="0.45">
      <c r="A14" s="71" t="s">
        <v>153</v>
      </c>
      <c r="B14" s="71"/>
      <c r="C14" s="52"/>
    </row>
    <row r="15" spans="1:4" x14ac:dyDescent="0.45">
      <c r="A15" s="11" t="s">
        <v>53</v>
      </c>
      <c r="B15" s="19"/>
      <c r="C15" s="51"/>
      <c r="D15" s="51"/>
    </row>
    <row r="16" spans="1:4" ht="28.6" customHeight="1" x14ac:dyDescent="0.45">
      <c r="A16" s="66" t="s">
        <v>140</v>
      </c>
      <c r="B16" s="66"/>
      <c r="C16" s="2"/>
    </row>
    <row r="17" spans="1:3" s="50" customFormat="1" ht="28.6" customHeight="1" x14ac:dyDescent="0.45">
      <c r="A17" s="66" t="s">
        <v>139</v>
      </c>
      <c r="B17" s="66"/>
      <c r="C17" s="49"/>
    </row>
    <row r="18" spans="1:3" x14ac:dyDescent="0.45">
      <c r="A18" s="69" t="s">
        <v>141</v>
      </c>
      <c r="B18" s="69"/>
      <c r="C18" s="2"/>
    </row>
    <row r="19" spans="1:3" x14ac:dyDescent="0.45">
      <c r="A19" s="72" t="s">
        <v>121</v>
      </c>
      <c r="B19" s="72"/>
    </row>
    <row r="20" spans="1:3" x14ac:dyDescent="0.45">
      <c r="A20" s="4"/>
      <c r="B20" s="2"/>
      <c r="C20" s="2"/>
    </row>
    <row r="21" spans="1:3" x14ac:dyDescent="0.45">
      <c r="A21" s="4"/>
      <c r="B21" s="2"/>
      <c r="C21" s="2"/>
    </row>
    <row r="24" spans="1:3" x14ac:dyDescent="0.45">
      <c r="A24" s="6"/>
    </row>
    <row r="25" spans="1:3" x14ac:dyDescent="0.45">
      <c r="A25" s="1"/>
      <c r="B25" s="3"/>
      <c r="C25" s="3"/>
    </row>
    <row r="26" spans="1:3" x14ac:dyDescent="0.45">
      <c r="A26" s="4"/>
      <c r="B26" s="2"/>
      <c r="C26" s="2"/>
    </row>
    <row r="27" spans="1:3" x14ac:dyDescent="0.45">
      <c r="A27" s="4"/>
      <c r="B27" s="2"/>
      <c r="C27" s="2"/>
    </row>
    <row r="28" spans="1:3" x14ac:dyDescent="0.45">
      <c r="A28" s="4"/>
      <c r="B28" s="2"/>
      <c r="C28" s="2"/>
    </row>
    <row r="29" spans="1:3" x14ac:dyDescent="0.45">
      <c r="A29" s="4"/>
      <c r="B29" s="2"/>
      <c r="C29" s="2"/>
    </row>
    <row r="30" spans="1:3" x14ac:dyDescent="0.45">
      <c r="A30" s="4"/>
      <c r="B30" s="2"/>
      <c r="C30" s="2"/>
    </row>
    <row r="31" spans="1:3" x14ac:dyDescent="0.45">
      <c r="A31" s="4"/>
      <c r="B31" s="2"/>
      <c r="C31" s="2"/>
    </row>
  </sheetData>
  <mergeCells count="7">
    <mergeCell ref="A18:B18"/>
    <mergeCell ref="A19:B19"/>
    <mergeCell ref="A1:B1"/>
    <mergeCell ref="A2:B2"/>
    <mergeCell ref="A14:B14"/>
    <mergeCell ref="A16:B16"/>
    <mergeCell ref="A17:B17"/>
  </mergeCells>
  <pageMargins left="0.7" right="0.7" top="0.75" bottom="0.75" header="0.3" footer="0.3"/>
  <pageSetup paperSize="9" fitToWidth="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2141-0E01-4D12-92A4-AC4060C09444}">
  <dimension ref="A1:I51"/>
  <sheetViews>
    <sheetView zoomScaleNormal="100" workbookViewId="0">
      <selection sqref="A1:C1"/>
    </sheetView>
  </sheetViews>
  <sheetFormatPr defaultRowHeight="14.25" x14ac:dyDescent="0.45"/>
  <cols>
    <col min="1" max="1" width="43.265625" customWidth="1"/>
    <col min="2" max="3" width="16.59765625" customWidth="1"/>
    <col min="4" max="4" width="22.59765625" customWidth="1"/>
  </cols>
  <sheetData>
    <row r="1" spans="1:3" ht="28.05" customHeight="1" x14ac:dyDescent="0.65">
      <c r="A1" s="67" t="s">
        <v>42</v>
      </c>
      <c r="B1" s="67"/>
      <c r="C1" s="67"/>
    </row>
    <row r="2" spans="1:3" x14ac:dyDescent="0.45">
      <c r="A2" s="68" t="s">
        <v>50</v>
      </c>
      <c r="B2" s="68"/>
      <c r="C2" s="68"/>
    </row>
    <row r="3" spans="1:3" x14ac:dyDescent="0.45">
      <c r="A3" s="9" t="s">
        <v>43</v>
      </c>
      <c r="B3" s="9"/>
      <c r="C3" s="9"/>
    </row>
    <row r="4" spans="1:3" x14ac:dyDescent="0.45">
      <c r="A4" s="25" t="s">
        <v>44</v>
      </c>
      <c r="B4" s="26" t="s">
        <v>45</v>
      </c>
      <c r="C4" s="26" t="s">
        <v>46</v>
      </c>
    </row>
    <row r="5" spans="1:3" x14ac:dyDescent="0.45">
      <c r="A5" s="14" t="s">
        <v>0</v>
      </c>
      <c r="B5" s="15">
        <v>2014.4</v>
      </c>
      <c r="C5" s="15">
        <v>2151.1999999999998</v>
      </c>
    </row>
    <row r="6" spans="1:3" ht="14.65" thickBot="1" x14ac:dyDescent="0.5">
      <c r="A6" s="14" t="s">
        <v>1</v>
      </c>
      <c r="B6" s="15">
        <v>770.8</v>
      </c>
      <c r="C6" s="15">
        <v>829.1</v>
      </c>
    </row>
    <row r="7" spans="1:3" ht="14.65" thickTop="1" x14ac:dyDescent="0.45">
      <c r="A7" s="16" t="s">
        <v>2</v>
      </c>
      <c r="B7" s="17">
        <v>1243.5999999999999</v>
      </c>
      <c r="C7" s="17">
        <v>1322.1</v>
      </c>
    </row>
    <row r="8" spans="1:3" x14ac:dyDescent="0.45">
      <c r="A8" s="14" t="s">
        <v>3</v>
      </c>
      <c r="B8" s="15">
        <v>950.1</v>
      </c>
      <c r="C8" s="15">
        <v>1036.3</v>
      </c>
    </row>
    <row r="9" spans="1:3" x14ac:dyDescent="0.45">
      <c r="A9" s="14" t="s">
        <v>4</v>
      </c>
      <c r="B9" s="15">
        <v>97.9</v>
      </c>
      <c r="C9" s="15">
        <v>102.1</v>
      </c>
    </row>
    <row r="10" spans="1:3" ht="14.65" thickBot="1" x14ac:dyDescent="0.5">
      <c r="A10" s="14" t="s">
        <v>49</v>
      </c>
      <c r="B10" s="15">
        <v>13.8</v>
      </c>
      <c r="C10" s="15">
        <v>0</v>
      </c>
    </row>
    <row r="11" spans="1:3" ht="14.65" thickTop="1" x14ac:dyDescent="0.45">
      <c r="A11" s="16" t="s">
        <v>5</v>
      </c>
      <c r="B11" s="17">
        <v>209.4</v>
      </c>
      <c r="C11" s="17">
        <v>183.7</v>
      </c>
    </row>
    <row r="12" spans="1:3" x14ac:dyDescent="0.45">
      <c r="A12" s="14" t="s">
        <v>6</v>
      </c>
      <c r="B12" s="15">
        <v>8.1</v>
      </c>
      <c r="C12" s="15">
        <v>1.8</v>
      </c>
    </row>
    <row r="13" spans="1:3" ht="14.65" thickBot="1" x14ac:dyDescent="0.5">
      <c r="A13" s="14" t="s">
        <v>7</v>
      </c>
      <c r="B13" s="15">
        <v>13.6</v>
      </c>
      <c r="C13" s="15">
        <v>18.100000000000001</v>
      </c>
    </row>
    <row r="14" spans="1:3" ht="14.65" thickTop="1" x14ac:dyDescent="0.45">
      <c r="A14" s="16" t="s">
        <v>8</v>
      </c>
      <c r="B14" s="17">
        <v>203.9</v>
      </c>
      <c r="C14" s="17">
        <v>167.4</v>
      </c>
    </row>
    <row r="15" spans="1:3" ht="14.65" thickBot="1" x14ac:dyDescent="0.5">
      <c r="A15" s="14" t="s">
        <v>9</v>
      </c>
      <c r="B15" s="15">
        <v>50.5</v>
      </c>
      <c r="C15" s="15">
        <v>45.2</v>
      </c>
    </row>
    <row r="16" spans="1:3" ht="14.65" thickTop="1" x14ac:dyDescent="0.45">
      <c r="A16" s="16" t="s">
        <v>10</v>
      </c>
      <c r="B16" s="17">
        <v>153.4</v>
      </c>
      <c r="C16" s="17">
        <v>122.2</v>
      </c>
    </row>
    <row r="17" spans="1:3" x14ac:dyDescent="0.45">
      <c r="A17" s="11" t="s">
        <v>47</v>
      </c>
      <c r="B17" s="12"/>
      <c r="C17" s="12"/>
    </row>
    <row r="18" spans="1:3" x14ac:dyDescent="0.45">
      <c r="A18" s="25" t="s">
        <v>44</v>
      </c>
      <c r="B18" s="27" t="s">
        <v>45</v>
      </c>
      <c r="C18" s="27" t="s">
        <v>46</v>
      </c>
    </row>
    <row r="19" spans="1:3" x14ac:dyDescent="0.45">
      <c r="A19" s="14" t="s">
        <v>11</v>
      </c>
      <c r="B19" s="15">
        <v>664.7</v>
      </c>
      <c r="C19" s="15">
        <v>832.1</v>
      </c>
    </row>
    <row r="20" spans="1:3" x14ac:dyDescent="0.45">
      <c r="A20" s="14" t="s">
        <v>12</v>
      </c>
      <c r="B20" s="15">
        <v>387.2</v>
      </c>
      <c r="C20" s="15">
        <v>413</v>
      </c>
    </row>
    <row r="21" spans="1:3" x14ac:dyDescent="0.45">
      <c r="A21" s="14" t="s">
        <v>13</v>
      </c>
      <c r="B21" s="15">
        <v>55.2</v>
      </c>
      <c r="C21" s="15">
        <v>55.7</v>
      </c>
    </row>
    <row r="22" spans="1:3" x14ac:dyDescent="0.45">
      <c r="A22" s="14" t="s">
        <v>14</v>
      </c>
      <c r="B22" s="15">
        <v>62.4</v>
      </c>
      <c r="C22" s="15">
        <v>69.400000000000006</v>
      </c>
    </row>
    <row r="23" spans="1:3" ht="14.65" thickBot="1" x14ac:dyDescent="0.5">
      <c r="A23" s="14" t="s">
        <v>15</v>
      </c>
      <c r="B23" s="15">
        <v>125.3</v>
      </c>
      <c r="C23" s="15">
        <v>70.8</v>
      </c>
    </row>
    <row r="24" spans="1:3" ht="14.65" thickTop="1" x14ac:dyDescent="0.45">
      <c r="A24" s="16" t="s">
        <v>16</v>
      </c>
      <c r="B24" s="17">
        <v>1319.7</v>
      </c>
      <c r="C24" s="17">
        <v>1484</v>
      </c>
    </row>
    <row r="25" spans="1:3" x14ac:dyDescent="0.45">
      <c r="A25" s="14" t="s">
        <v>17</v>
      </c>
      <c r="B25" s="15">
        <v>243.9</v>
      </c>
      <c r="C25" s="15">
        <v>272.8</v>
      </c>
    </row>
    <row r="26" spans="1:3" x14ac:dyDescent="0.45">
      <c r="A26" s="14" t="s">
        <v>18</v>
      </c>
      <c r="B26" s="15">
        <v>53.8</v>
      </c>
      <c r="C26" s="15">
        <v>62.5</v>
      </c>
    </row>
    <row r="27" spans="1:3" ht="14.65" thickBot="1" x14ac:dyDescent="0.5">
      <c r="A27" s="14" t="s">
        <v>19</v>
      </c>
      <c r="B27" s="15">
        <v>361.3</v>
      </c>
      <c r="C27" s="15">
        <v>387.3</v>
      </c>
    </row>
    <row r="28" spans="1:3" ht="15" thickTop="1" thickBot="1" x14ac:dyDescent="0.5">
      <c r="A28" s="16" t="s">
        <v>20</v>
      </c>
      <c r="B28" s="17">
        <v>749.2</v>
      </c>
      <c r="C28" s="17">
        <v>858.8</v>
      </c>
    </row>
    <row r="29" spans="1:3" ht="14.65" thickTop="1" x14ac:dyDescent="0.45">
      <c r="A29" s="16" t="s">
        <v>21</v>
      </c>
      <c r="B29" s="17">
        <v>570.5</v>
      </c>
      <c r="C29" s="17">
        <v>625.20000000000005</v>
      </c>
    </row>
    <row r="30" spans="1:3" x14ac:dyDescent="0.45">
      <c r="A30" s="11" t="s">
        <v>48</v>
      </c>
      <c r="B30" s="12"/>
      <c r="C30" s="12"/>
    </row>
    <row r="31" spans="1:3" x14ac:dyDescent="0.45">
      <c r="A31" s="25" t="s">
        <v>44</v>
      </c>
      <c r="B31" s="27" t="s">
        <v>45</v>
      </c>
      <c r="C31" s="27" t="s">
        <v>46</v>
      </c>
    </row>
    <row r="32" spans="1:3" ht="14.65" thickBot="1" x14ac:dyDescent="0.5">
      <c r="A32" s="14" t="s">
        <v>22</v>
      </c>
      <c r="B32" s="15">
        <v>352.6</v>
      </c>
      <c r="C32" s="15">
        <v>383.7</v>
      </c>
    </row>
    <row r="33" spans="1:6" ht="14.65" thickTop="1" x14ac:dyDescent="0.45">
      <c r="A33" s="16" t="s">
        <v>23</v>
      </c>
      <c r="B33" s="17">
        <v>318.60000000000002</v>
      </c>
      <c r="C33" s="17">
        <v>337</v>
      </c>
    </row>
    <row r="34" spans="1:6" x14ac:dyDescent="0.45">
      <c r="A34" s="14" t="s">
        <v>24</v>
      </c>
      <c r="B34" s="15">
        <v>230</v>
      </c>
      <c r="C34" s="15">
        <v>263.3</v>
      </c>
    </row>
    <row r="35" spans="1:6" x14ac:dyDescent="0.45">
      <c r="A35" s="14" t="s">
        <v>25</v>
      </c>
      <c r="B35" s="15">
        <v>10.9</v>
      </c>
      <c r="C35" s="15">
        <v>22.1</v>
      </c>
    </row>
    <row r="36" spans="1:6" ht="14.65" thickBot="1" x14ac:dyDescent="0.5">
      <c r="A36" s="14" t="s">
        <v>26</v>
      </c>
      <c r="B36" s="15">
        <v>106.8</v>
      </c>
      <c r="C36" s="15">
        <v>70.3</v>
      </c>
    </row>
    <row r="37" spans="1:6" ht="14.75" customHeight="1" thickTop="1" x14ac:dyDescent="0.45">
      <c r="A37" s="16" t="s">
        <v>27</v>
      </c>
      <c r="B37" s="17">
        <v>125.3</v>
      </c>
      <c r="C37" s="17">
        <v>70.8</v>
      </c>
    </row>
    <row r="38" spans="1:6" ht="14.75" customHeight="1" x14ac:dyDescent="0.45">
      <c r="A38" s="76" t="s">
        <v>89</v>
      </c>
      <c r="B38" s="76"/>
      <c r="C38" s="76"/>
    </row>
    <row r="39" spans="1:6" ht="14.75" customHeight="1" x14ac:dyDescent="0.45">
      <c r="A39" s="25" t="s">
        <v>44</v>
      </c>
      <c r="B39" s="27" t="s">
        <v>45</v>
      </c>
      <c r="C39" s="27" t="s">
        <v>46</v>
      </c>
    </row>
    <row r="40" spans="1:6" x14ac:dyDescent="0.45">
      <c r="A40" s="14" t="s">
        <v>81</v>
      </c>
      <c r="B40" s="15">
        <v>4.2</v>
      </c>
      <c r="C40" s="13">
        <v>4.7</v>
      </c>
    </row>
    <row r="41" spans="1:6" x14ac:dyDescent="0.45">
      <c r="A41" s="14" t="s">
        <v>82</v>
      </c>
      <c r="B41" s="13">
        <v>76.599999999999994</v>
      </c>
      <c r="C41" s="13">
        <v>90.7</v>
      </c>
    </row>
    <row r="42" spans="1:6" x14ac:dyDescent="0.45">
      <c r="A42" s="14" t="s">
        <v>83</v>
      </c>
      <c r="B42" s="13">
        <v>59.2</v>
      </c>
      <c r="C42" s="13">
        <v>65.2</v>
      </c>
    </row>
    <row r="43" spans="1:6" ht="14.35" customHeight="1" x14ac:dyDescent="0.45">
      <c r="A43" s="14" t="s">
        <v>84</v>
      </c>
      <c r="B43" s="41">
        <v>-6.4</v>
      </c>
      <c r="C43" s="41">
        <v>-0.4</v>
      </c>
    </row>
    <row r="44" spans="1:6" x14ac:dyDescent="0.45">
      <c r="A44" s="14" t="s">
        <v>85</v>
      </c>
      <c r="B44" s="41">
        <v>-8.1</v>
      </c>
      <c r="C44" s="41">
        <v>-7.4</v>
      </c>
    </row>
    <row r="45" spans="1:6" x14ac:dyDescent="0.45">
      <c r="A45" s="14" t="s">
        <v>86</v>
      </c>
      <c r="B45" s="41">
        <v>24.9</v>
      </c>
      <c r="C45" s="41">
        <v>31.6</v>
      </c>
    </row>
    <row r="46" spans="1:6" x14ac:dyDescent="0.45">
      <c r="A46" s="14" t="s">
        <v>87</v>
      </c>
      <c r="B46" s="41">
        <v>2.9</v>
      </c>
      <c r="C46" s="41">
        <v>3.9</v>
      </c>
      <c r="D46" s="75"/>
      <c r="E46" s="75"/>
      <c r="F46" s="75"/>
    </row>
    <row r="47" spans="1:6" x14ac:dyDescent="0.45">
      <c r="A47" s="14" t="s">
        <v>88</v>
      </c>
      <c r="B47" s="41">
        <v>2.1</v>
      </c>
      <c r="C47" s="41">
        <v>3</v>
      </c>
    </row>
    <row r="48" spans="1:6" ht="14.75" customHeight="1" x14ac:dyDescent="0.45">
      <c r="A48" t="s">
        <v>90</v>
      </c>
      <c r="B48" s="41">
        <v>-12.2</v>
      </c>
      <c r="C48" s="41">
        <v>8.6999999999999993</v>
      </c>
    </row>
    <row r="49" spans="1:9" x14ac:dyDescent="0.45">
      <c r="A49" s="14" t="s">
        <v>91</v>
      </c>
      <c r="B49" s="41">
        <v>-34</v>
      </c>
      <c r="C49" s="41">
        <v>-46.7</v>
      </c>
    </row>
    <row r="50" spans="1:9" ht="14.35" customHeight="1" x14ac:dyDescent="0.45">
      <c r="A50" s="75" t="s">
        <v>150</v>
      </c>
      <c r="B50" s="75"/>
      <c r="C50" s="75"/>
    </row>
    <row r="51" spans="1:9" ht="28.6" customHeight="1" x14ac:dyDescent="0.45">
      <c r="A51" s="73" t="s">
        <v>152</v>
      </c>
      <c r="B51" s="73"/>
      <c r="C51" s="73"/>
      <c r="G51" s="74"/>
      <c r="H51" s="74"/>
      <c r="I51" s="74"/>
    </row>
  </sheetData>
  <mergeCells count="7">
    <mergeCell ref="A1:C1"/>
    <mergeCell ref="A2:C2"/>
    <mergeCell ref="A51:C51"/>
    <mergeCell ref="G51:I51"/>
    <mergeCell ref="D46:F46"/>
    <mergeCell ref="A50:C50"/>
    <mergeCell ref="A38:C3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CACC-B517-4782-BD5D-B46F5151D98D}">
  <dimension ref="A1:C25"/>
  <sheetViews>
    <sheetView zoomScaleNormal="100" workbookViewId="0">
      <selection sqref="A1:C1"/>
    </sheetView>
  </sheetViews>
  <sheetFormatPr defaultRowHeight="14.25" x14ac:dyDescent="0.45"/>
  <cols>
    <col min="1" max="1" width="40.59765625" customWidth="1"/>
    <col min="2" max="3" width="16.59765625" customWidth="1"/>
  </cols>
  <sheetData>
    <row r="1" spans="1:3" ht="21" x14ac:dyDescent="0.65">
      <c r="A1" s="67" t="s">
        <v>42</v>
      </c>
      <c r="B1" s="67"/>
      <c r="C1" s="67"/>
    </row>
    <row r="2" spans="1:3" x14ac:dyDescent="0.45">
      <c r="A2" s="68" t="s">
        <v>54</v>
      </c>
      <c r="B2" s="68"/>
      <c r="C2" s="68"/>
    </row>
    <row r="3" spans="1:3" x14ac:dyDescent="0.45">
      <c r="A3" s="9" t="s">
        <v>55</v>
      </c>
      <c r="B3" s="9"/>
      <c r="C3" s="9"/>
    </row>
    <row r="4" spans="1:3" x14ac:dyDescent="0.45">
      <c r="A4" s="28" t="s">
        <v>56</v>
      </c>
      <c r="B4" s="29" t="s">
        <v>45</v>
      </c>
      <c r="C4" s="29" t="s">
        <v>46</v>
      </c>
    </row>
    <row r="5" spans="1:3" x14ac:dyDescent="0.45">
      <c r="A5" s="13" t="s">
        <v>58</v>
      </c>
      <c r="B5" s="30" t="s">
        <v>57</v>
      </c>
      <c r="C5" s="31">
        <f>('Financial Statements'!C5/'Financial Statements'!B5)-1</f>
        <v>6.7911040508339848E-2</v>
      </c>
    </row>
    <row r="6" spans="1:3" x14ac:dyDescent="0.45">
      <c r="A6" s="13" t="s">
        <v>59</v>
      </c>
      <c r="B6" s="31">
        <f>'Financial Statements'!B7/'Financial Statements'!B5</f>
        <v>0.61735504368546457</v>
      </c>
      <c r="C6" s="31">
        <f>'Financial Statements'!C7/'Financial Statements'!C5</f>
        <v>0.61458720714020088</v>
      </c>
    </row>
    <row r="7" spans="1:3" x14ac:dyDescent="0.45">
      <c r="A7" s="13" t="s">
        <v>60</v>
      </c>
      <c r="B7" s="31">
        <f>'Financial Statements'!B11/'Financial Statements'!B5</f>
        <v>0.10395154884829229</v>
      </c>
      <c r="C7" s="31">
        <f>'Financial Statements'!C11/'Financial Statements'!C5</f>
        <v>8.5394198586835252E-2</v>
      </c>
    </row>
    <row r="8" spans="1:3" x14ac:dyDescent="0.45">
      <c r="A8" s="13" t="s">
        <v>61</v>
      </c>
      <c r="B8" s="31">
        <f>'Financial Statements'!B16/'Financial Statements'!B5</f>
        <v>7.6151707704527408E-2</v>
      </c>
      <c r="C8" s="31">
        <f>'Financial Statements'!C16/'Financial Statements'!C5</f>
        <v>5.6805503904797328E-2</v>
      </c>
    </row>
    <row r="9" spans="1:3" x14ac:dyDescent="0.45">
      <c r="A9" s="13" t="s">
        <v>62</v>
      </c>
      <c r="B9" s="31">
        <f>'Financial Statements'!B33/'Financial Statements'!B11</f>
        <v>1.5214899713467049</v>
      </c>
      <c r="C9" s="31">
        <f>'Financial Statements'!C33/'Financial Statements'!C11</f>
        <v>1.8345127925966251</v>
      </c>
    </row>
    <row r="10" spans="1:3" x14ac:dyDescent="0.45">
      <c r="A10" s="9" t="s">
        <v>67</v>
      </c>
      <c r="B10" s="32"/>
      <c r="C10" s="32"/>
    </row>
    <row r="11" spans="1:3" x14ac:dyDescent="0.45">
      <c r="A11" s="28" t="s">
        <v>63</v>
      </c>
      <c r="B11" s="29" t="s">
        <v>64</v>
      </c>
      <c r="C11" s="29" t="s">
        <v>66</v>
      </c>
    </row>
    <row r="12" spans="1:3" x14ac:dyDescent="0.45">
      <c r="A12" s="13" t="s">
        <v>0</v>
      </c>
      <c r="B12" s="33">
        <f>'Financial Statements'!C5-'Financial Statements'!B5</f>
        <v>136.79999999999973</v>
      </c>
      <c r="C12" s="34">
        <f>B12/'Financial Statements'!B5</f>
        <v>6.7911040508339821E-2</v>
      </c>
    </row>
    <row r="13" spans="1:3" x14ac:dyDescent="0.45">
      <c r="A13" s="13" t="s">
        <v>1</v>
      </c>
      <c r="B13" s="33">
        <f>'Financial Statements'!C6-'Financial Statements'!B6</f>
        <v>58.300000000000068</v>
      </c>
      <c r="C13" s="34">
        <f>B13/'Financial Statements'!B6</f>
        <v>7.5635703165542384E-2</v>
      </c>
    </row>
    <row r="14" spans="1:3" x14ac:dyDescent="0.45">
      <c r="A14" s="13" t="s">
        <v>3</v>
      </c>
      <c r="B14" s="33">
        <f>'Financial Statements'!C8-'Financial Statements'!B8</f>
        <v>86.199999999999932</v>
      </c>
      <c r="C14" s="34">
        <f>B14/'Financial Statements'!B8</f>
        <v>9.0727291864014237E-2</v>
      </c>
    </row>
    <row r="15" spans="1:3" x14ac:dyDescent="0.45">
      <c r="A15" s="13" t="s">
        <v>65</v>
      </c>
      <c r="B15" s="33">
        <f>'Financial Statements'!C9-'Financial Statements'!B9</f>
        <v>4.1999999999999886</v>
      </c>
      <c r="C15" s="34">
        <f>B15/'Financial Statements'!B9</f>
        <v>4.2900919305413572E-2</v>
      </c>
    </row>
    <row r="16" spans="1:3" ht="14.65" thickBot="1" x14ac:dyDescent="0.5">
      <c r="A16" s="13" t="s">
        <v>49</v>
      </c>
      <c r="B16" s="33">
        <f>'Financial Statements'!C10-'Financial Statements'!B10</f>
        <v>-13.8</v>
      </c>
      <c r="C16" s="34">
        <f>B16/'Financial Statements'!B10</f>
        <v>-1</v>
      </c>
    </row>
    <row r="17" spans="1:3" ht="14.65" thickTop="1" x14ac:dyDescent="0.45">
      <c r="A17" s="35" t="s">
        <v>5</v>
      </c>
      <c r="B17" s="36">
        <f>'Financial Statements'!C11-'Financial Statements'!B11</f>
        <v>-25.700000000000017</v>
      </c>
      <c r="C17" s="37">
        <f>B17/'Financial Statements'!B11</f>
        <v>-0.12273161413562568</v>
      </c>
    </row>
    <row r="18" spans="1:3" x14ac:dyDescent="0.45">
      <c r="A18" s="9" t="s">
        <v>68</v>
      </c>
      <c r="B18" s="10"/>
      <c r="C18" s="10"/>
    </row>
    <row r="19" spans="1:3" x14ac:dyDescent="0.45">
      <c r="A19" s="28" t="s">
        <v>63</v>
      </c>
      <c r="B19" s="29" t="s">
        <v>45</v>
      </c>
      <c r="C19" s="29" t="s">
        <v>46</v>
      </c>
    </row>
    <row r="20" spans="1:3" x14ac:dyDescent="0.45">
      <c r="A20" s="13" t="s">
        <v>69</v>
      </c>
      <c r="B20" s="13">
        <f>'Financial Statements'!B11</f>
        <v>209.4</v>
      </c>
      <c r="C20" s="13">
        <f>'Financial Statements'!C11</f>
        <v>183.7</v>
      </c>
    </row>
    <row r="21" spans="1:3" x14ac:dyDescent="0.45">
      <c r="A21" s="13" t="s">
        <v>70</v>
      </c>
      <c r="B21" s="62">
        <v>14.1</v>
      </c>
      <c r="C21" s="13">
        <v>-3.8</v>
      </c>
    </row>
    <row r="22" spans="1:3" x14ac:dyDescent="0.45">
      <c r="A22" s="13" t="s">
        <v>71</v>
      </c>
      <c r="B22" s="40">
        <f>B20-B21</f>
        <v>195.3</v>
      </c>
      <c r="C22" s="13">
        <f>C20-C21</f>
        <v>187.5</v>
      </c>
    </row>
    <row r="23" spans="1:3" ht="14.65" thickBot="1" x14ac:dyDescent="0.5">
      <c r="A23" s="13" t="s">
        <v>72</v>
      </c>
      <c r="B23" s="63">
        <f>B22/'Financial Statements'!B5</f>
        <v>9.6951945988880059E-2</v>
      </c>
      <c r="C23" s="63">
        <f>C22/'Financial Statements'!C5</f>
        <v>8.7160654518408334E-2</v>
      </c>
    </row>
    <row r="24" spans="1:3" ht="14.65" thickTop="1" x14ac:dyDescent="0.45">
      <c r="A24" s="35" t="s">
        <v>73</v>
      </c>
      <c r="B24" s="64" t="s">
        <v>57</v>
      </c>
      <c r="C24" s="65">
        <f>(C22-B22)/B22</f>
        <v>-3.9938556067588379E-2</v>
      </c>
    </row>
    <row r="25" spans="1:3" x14ac:dyDescent="0.45">
      <c r="A25" s="60" t="s">
        <v>148</v>
      </c>
      <c r="B25" s="13"/>
      <c r="C25" s="13"/>
    </row>
  </sheetData>
  <mergeCells count="2">
    <mergeCell ref="A1:C1"/>
    <mergeCell ref="A2:C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0F74-51E4-485C-A20D-AD250140D5D2}">
  <dimension ref="A1:C33"/>
  <sheetViews>
    <sheetView zoomScaleNormal="100" workbookViewId="0">
      <selection sqref="A1:C1"/>
    </sheetView>
  </sheetViews>
  <sheetFormatPr defaultRowHeight="14.25" x14ac:dyDescent="0.45"/>
  <cols>
    <col min="1" max="1" width="43.19921875" customWidth="1"/>
    <col min="2" max="3" width="16.59765625" customWidth="1"/>
  </cols>
  <sheetData>
    <row r="1" spans="1:3" ht="21" x14ac:dyDescent="0.65">
      <c r="A1" s="67" t="s">
        <v>42</v>
      </c>
      <c r="B1" s="67"/>
      <c r="C1" s="67"/>
    </row>
    <row r="2" spans="1:3" x14ac:dyDescent="0.45">
      <c r="A2" s="68" t="s">
        <v>142</v>
      </c>
      <c r="B2" s="68"/>
      <c r="C2" s="68"/>
    </row>
    <row r="3" spans="1:3" x14ac:dyDescent="0.45">
      <c r="A3" s="9" t="s">
        <v>74</v>
      </c>
      <c r="B3" s="9"/>
      <c r="C3" s="9"/>
    </row>
    <row r="4" spans="1:3" x14ac:dyDescent="0.45">
      <c r="A4" s="28" t="s">
        <v>94</v>
      </c>
      <c r="B4" s="29" t="s">
        <v>45</v>
      </c>
      <c r="C4" s="29" t="s">
        <v>46</v>
      </c>
    </row>
    <row r="5" spans="1:3" x14ac:dyDescent="0.45">
      <c r="A5" s="13" t="s">
        <v>10</v>
      </c>
      <c r="B5" s="13">
        <f>'Financial Statements'!B16</f>
        <v>153.4</v>
      </c>
      <c r="C5" s="13">
        <f>'Financial Statements'!C16</f>
        <v>122.2</v>
      </c>
    </row>
    <row r="6" spans="1:3" x14ac:dyDescent="0.45">
      <c r="A6" s="13" t="s">
        <v>23</v>
      </c>
      <c r="B6" s="13">
        <f>'Financial Statements'!B33</f>
        <v>318.60000000000002</v>
      </c>
      <c r="C6" s="40">
        <f>'Financial Statements'!C33</f>
        <v>337</v>
      </c>
    </row>
    <row r="7" spans="1:3" x14ac:dyDescent="0.45">
      <c r="A7" s="13" t="s">
        <v>77</v>
      </c>
      <c r="B7" s="40">
        <f>'Financial Statements'!B34</f>
        <v>230</v>
      </c>
      <c r="C7" s="13">
        <f>'Financial Statements'!C34</f>
        <v>263.3</v>
      </c>
    </row>
    <row r="8" spans="1:3" ht="14.65" thickBot="1" x14ac:dyDescent="0.5">
      <c r="A8" s="13" t="s">
        <v>25</v>
      </c>
      <c r="B8" s="13">
        <f>'Financial Statements'!B35</f>
        <v>10.9</v>
      </c>
      <c r="C8" s="13">
        <f>'Financial Statements'!C35</f>
        <v>22.1</v>
      </c>
    </row>
    <row r="9" spans="1:3" ht="15" thickTop="1" thickBot="1" x14ac:dyDescent="0.5">
      <c r="A9" s="35" t="s">
        <v>75</v>
      </c>
      <c r="B9" s="35">
        <f>B7+B8</f>
        <v>240.9</v>
      </c>
      <c r="C9" s="35">
        <f>C7+C8</f>
        <v>285.40000000000003</v>
      </c>
    </row>
    <row r="10" spans="1:3" ht="14.65" thickTop="1" x14ac:dyDescent="0.45">
      <c r="A10" s="35" t="s">
        <v>76</v>
      </c>
      <c r="B10" s="35">
        <f>B6-B9</f>
        <v>77.700000000000017</v>
      </c>
      <c r="C10" s="35">
        <f>C6-C9</f>
        <v>51.599999999999966</v>
      </c>
    </row>
    <row r="11" spans="1:3" x14ac:dyDescent="0.45">
      <c r="A11" s="9" t="s">
        <v>78</v>
      </c>
      <c r="B11" s="9"/>
      <c r="C11" s="9"/>
    </row>
    <row r="12" spans="1:3" x14ac:dyDescent="0.45">
      <c r="A12" s="28" t="s">
        <v>94</v>
      </c>
      <c r="B12" s="29" t="s">
        <v>45</v>
      </c>
      <c r="C12" s="29" t="s">
        <v>46</v>
      </c>
    </row>
    <row r="13" spans="1:3" x14ac:dyDescent="0.45">
      <c r="A13" s="13" t="s">
        <v>10</v>
      </c>
      <c r="B13" s="13">
        <f>'Financial Statements'!B16</f>
        <v>153.4</v>
      </c>
      <c r="C13" s="13">
        <f>'Financial Statements'!C16</f>
        <v>122.2</v>
      </c>
    </row>
    <row r="14" spans="1:3" x14ac:dyDescent="0.45">
      <c r="A14" s="13" t="s">
        <v>79</v>
      </c>
      <c r="B14" s="42">
        <f>'Financial Statements'!B40+'Financial Statements'!B41+'Financial Statements'!B42</f>
        <v>140</v>
      </c>
      <c r="C14" s="42">
        <f>'Financial Statements'!C40+'Financial Statements'!C41+'Financial Statements'!C42</f>
        <v>160.60000000000002</v>
      </c>
    </row>
    <row r="15" spans="1:3" x14ac:dyDescent="0.45">
      <c r="A15" s="13" t="s">
        <v>92</v>
      </c>
      <c r="B15" s="42">
        <f>'Financial Statements'!B46+'Financial Statements'!B47</f>
        <v>5</v>
      </c>
      <c r="C15" s="42">
        <f>'Financial Statements'!C46+'Financial Statements'!C47</f>
        <v>6.9</v>
      </c>
    </row>
    <row r="16" spans="1:3" x14ac:dyDescent="0.45">
      <c r="A16" s="13" t="s">
        <v>93</v>
      </c>
      <c r="B16" s="42">
        <f>'Financial Statements'!B43+'Financial Statements'!B44+'Financial Statements'!B45</f>
        <v>10.399999999999999</v>
      </c>
      <c r="C16" s="42">
        <f>'Financial Statements'!C43+'Financial Statements'!C44+'Financial Statements'!C45</f>
        <v>23.8</v>
      </c>
    </row>
    <row r="17" spans="1:3" x14ac:dyDescent="0.45">
      <c r="A17" s="13" t="s">
        <v>80</v>
      </c>
      <c r="B17" s="42">
        <f>'Financial Statements'!B15+'Financial Statements'!B13-'Financial Statements'!B12</f>
        <v>55.999999999999993</v>
      </c>
      <c r="C17" s="42">
        <f>'Financial Statements'!C15+'Financial Statements'!C13-'Financial Statements'!C12</f>
        <v>61.500000000000007</v>
      </c>
    </row>
    <row r="18" spans="1:3" ht="14.65" thickBot="1" x14ac:dyDescent="0.5">
      <c r="A18" s="13" t="s">
        <v>90</v>
      </c>
      <c r="B18" s="42">
        <f>'Financial Statements'!B48</f>
        <v>-12.2</v>
      </c>
      <c r="C18" s="42">
        <f>'Financial Statements'!C48</f>
        <v>8.6999999999999993</v>
      </c>
    </row>
    <row r="19" spans="1:3" ht="14.65" thickTop="1" x14ac:dyDescent="0.45">
      <c r="A19" s="35" t="s">
        <v>22</v>
      </c>
      <c r="B19" s="38">
        <f>SUM(B13:B18)</f>
        <v>352.59999999999997</v>
      </c>
      <c r="C19" s="38">
        <f>SUM(C13:C18)</f>
        <v>383.7</v>
      </c>
    </row>
    <row r="20" spans="1:3" ht="14.65" thickBot="1" x14ac:dyDescent="0.5">
      <c r="A20" s="13" t="s">
        <v>91</v>
      </c>
      <c r="B20" s="42">
        <f>'Financial Statements'!B49</f>
        <v>-34</v>
      </c>
      <c r="C20" s="42">
        <f>'Financial Statements'!C49</f>
        <v>-46.7</v>
      </c>
    </row>
    <row r="21" spans="1:3" ht="14.65" thickTop="1" x14ac:dyDescent="0.45">
      <c r="A21" s="35" t="s">
        <v>23</v>
      </c>
      <c r="B21" s="38">
        <f>SUM(B19:B20)</f>
        <v>318.59999999999997</v>
      </c>
      <c r="C21" s="44">
        <f>SUM(C19:C20)</f>
        <v>337</v>
      </c>
    </row>
    <row r="22" spans="1:3" x14ac:dyDescent="0.45">
      <c r="A22" s="9" t="s">
        <v>95</v>
      </c>
      <c r="B22" s="9"/>
      <c r="C22" s="9"/>
    </row>
    <row r="23" spans="1:3" x14ac:dyDescent="0.45">
      <c r="A23" s="28" t="s">
        <v>94</v>
      </c>
      <c r="B23" s="29" t="s">
        <v>45</v>
      </c>
      <c r="C23" s="29" t="s">
        <v>46</v>
      </c>
    </row>
    <row r="24" spans="1:3" x14ac:dyDescent="0.45">
      <c r="A24" s="13" t="s">
        <v>84</v>
      </c>
      <c r="B24" s="42">
        <f>'Financial Statements'!B43</f>
        <v>-6.4</v>
      </c>
      <c r="C24" s="42">
        <f>'Financial Statements'!C43</f>
        <v>-0.4</v>
      </c>
    </row>
    <row r="25" spans="1:3" x14ac:dyDescent="0.45">
      <c r="A25" s="13" t="s">
        <v>85</v>
      </c>
      <c r="B25" s="42">
        <f>'Financial Statements'!B44</f>
        <v>-8.1</v>
      </c>
      <c r="C25" s="42">
        <f>'Financial Statements'!C44</f>
        <v>-7.4</v>
      </c>
    </row>
    <row r="26" spans="1:3" ht="14.65" thickBot="1" x14ac:dyDescent="0.5">
      <c r="A26" s="13" t="s">
        <v>86</v>
      </c>
      <c r="B26" s="42">
        <f>'Financial Statements'!B45</f>
        <v>24.9</v>
      </c>
      <c r="C26" s="42">
        <f>'Financial Statements'!C45</f>
        <v>31.6</v>
      </c>
    </row>
    <row r="27" spans="1:3" ht="15" thickTop="1" thickBot="1" x14ac:dyDescent="0.5">
      <c r="A27" s="35" t="s">
        <v>93</v>
      </c>
      <c r="B27" s="43">
        <f>SUM(B24:B26)</f>
        <v>10.399999999999999</v>
      </c>
      <c r="C27" s="43">
        <f>SUM(C24:C26)</f>
        <v>23.8</v>
      </c>
    </row>
    <row r="28" spans="1:3" ht="14.65" thickTop="1" x14ac:dyDescent="0.45">
      <c r="A28" s="35" t="s">
        <v>97</v>
      </c>
      <c r="B28" s="45" t="s">
        <v>57</v>
      </c>
      <c r="C28" s="43">
        <f>C27-B27</f>
        <v>13.400000000000002</v>
      </c>
    </row>
    <row r="29" spans="1:3" x14ac:dyDescent="0.45">
      <c r="A29" s="9" t="s">
        <v>96</v>
      </c>
      <c r="B29" s="9"/>
      <c r="C29" s="9"/>
    </row>
    <row r="30" spans="1:3" ht="42.95" customHeight="1" x14ac:dyDescent="0.45">
      <c r="A30" s="66" t="s">
        <v>143</v>
      </c>
      <c r="B30" s="66"/>
      <c r="C30" s="66"/>
    </row>
    <row r="31" spans="1:3" ht="57.2" customHeight="1" x14ac:dyDescent="0.45">
      <c r="A31" s="66" t="s">
        <v>122</v>
      </c>
      <c r="B31" s="66"/>
      <c r="C31" s="66"/>
    </row>
    <row r="32" spans="1:3" ht="42.95" customHeight="1" x14ac:dyDescent="0.45">
      <c r="A32" s="66" t="s">
        <v>123</v>
      </c>
      <c r="B32" s="66"/>
      <c r="C32" s="66"/>
    </row>
    <row r="33" spans="1:3" x14ac:dyDescent="0.45">
      <c r="A33" s="60" t="s">
        <v>149</v>
      </c>
      <c r="B33" s="13"/>
      <c r="C33" s="13"/>
    </row>
  </sheetData>
  <mergeCells count="5">
    <mergeCell ref="A1:C1"/>
    <mergeCell ref="A2:C2"/>
    <mergeCell ref="A31:C31"/>
    <mergeCell ref="A32:C32"/>
    <mergeCell ref="A30:C3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13DA-D242-402F-806C-083ABC00AE90}">
  <sheetPr>
    <pageSetUpPr fitToPage="1"/>
  </sheetPr>
  <dimension ref="A1:F23"/>
  <sheetViews>
    <sheetView zoomScaleNormal="100" workbookViewId="0">
      <selection sqref="A1:D1"/>
    </sheetView>
  </sheetViews>
  <sheetFormatPr defaultRowHeight="14.25" x14ac:dyDescent="0.45"/>
  <cols>
    <col min="1" max="1" width="35.73046875" customWidth="1"/>
    <col min="2" max="2" width="24" customWidth="1"/>
    <col min="3" max="3" width="29.1328125" customWidth="1"/>
    <col min="4" max="4" width="78.46484375" customWidth="1"/>
    <col min="5" max="5" width="9.06640625" customWidth="1"/>
  </cols>
  <sheetData>
    <row r="1" spans="1:4" ht="21" x14ac:dyDescent="0.65">
      <c r="A1" s="67" t="s">
        <v>42</v>
      </c>
      <c r="B1" s="67"/>
      <c r="C1" s="67"/>
      <c r="D1" s="67"/>
    </row>
    <row r="2" spans="1:4" x14ac:dyDescent="0.45">
      <c r="A2" s="68" t="s">
        <v>98</v>
      </c>
      <c r="B2" s="68"/>
      <c r="C2" s="68"/>
      <c r="D2" s="68"/>
    </row>
    <row r="3" spans="1:4" x14ac:dyDescent="0.45">
      <c r="A3" s="9" t="s">
        <v>99</v>
      </c>
      <c r="B3" s="9"/>
      <c r="C3" s="9"/>
      <c r="D3" s="7"/>
    </row>
    <row r="4" spans="1:4" x14ac:dyDescent="0.45">
      <c r="A4" s="28" t="s">
        <v>100</v>
      </c>
      <c r="B4" s="29" t="s">
        <v>45</v>
      </c>
      <c r="C4" s="29" t="s">
        <v>46</v>
      </c>
      <c r="D4" s="53" t="s">
        <v>104</v>
      </c>
    </row>
    <row r="5" spans="1:4" ht="28.5" x14ac:dyDescent="0.45">
      <c r="A5" s="47" t="s">
        <v>101</v>
      </c>
      <c r="B5" s="54">
        <v>9.25</v>
      </c>
      <c r="C5" s="54">
        <v>8.01</v>
      </c>
      <c r="D5" s="59" t="s">
        <v>125</v>
      </c>
    </row>
    <row r="6" spans="1:4" ht="28.5" x14ac:dyDescent="0.45">
      <c r="A6" s="47" t="s">
        <v>102</v>
      </c>
      <c r="B6" s="54">
        <v>6.94</v>
      </c>
      <c r="C6" s="55">
        <v>5.6</v>
      </c>
      <c r="D6" s="59" t="s">
        <v>124</v>
      </c>
    </row>
    <row r="7" spans="1:4" ht="28.5" x14ac:dyDescent="0.45">
      <c r="A7" s="47" t="s">
        <v>103</v>
      </c>
      <c r="B7" s="54">
        <v>0.46200000000000002</v>
      </c>
      <c r="C7" s="57">
        <v>0.4</v>
      </c>
      <c r="D7" s="59" t="s">
        <v>126</v>
      </c>
    </row>
    <row r="8" spans="1:4" ht="28.5" x14ac:dyDescent="0.45">
      <c r="A8" s="47" t="s">
        <v>11</v>
      </c>
      <c r="B8" s="54">
        <f>'Financial Statements'!B19</f>
        <v>664.7</v>
      </c>
      <c r="C8" s="54">
        <f>'Financial Statements'!C19</f>
        <v>832.1</v>
      </c>
      <c r="D8" s="59" t="s">
        <v>127</v>
      </c>
    </row>
    <row r="9" spans="1:4" ht="28.5" x14ac:dyDescent="0.45">
      <c r="A9" s="47" t="s">
        <v>12</v>
      </c>
      <c r="B9" s="54">
        <f>'Financial Statements'!B20</f>
        <v>387.2</v>
      </c>
      <c r="C9" s="58">
        <f>'Financial Statements'!C20</f>
        <v>413</v>
      </c>
      <c r="D9" s="59" t="s">
        <v>128</v>
      </c>
    </row>
    <row r="10" spans="1:4" ht="42.75" x14ac:dyDescent="0.45">
      <c r="A10" s="47" t="s">
        <v>92</v>
      </c>
      <c r="B10" s="56">
        <f>'Earnings Quality'!B15</f>
        <v>5</v>
      </c>
      <c r="C10" s="54">
        <f>'Earnings Quality'!C15</f>
        <v>6.9</v>
      </c>
      <c r="D10" s="59" t="s">
        <v>129</v>
      </c>
    </row>
    <row r="11" spans="1:4" x14ac:dyDescent="0.45">
      <c r="A11" s="9" t="s">
        <v>105</v>
      </c>
      <c r="B11" s="9"/>
      <c r="C11" s="9"/>
      <c r="D11" s="7"/>
    </row>
    <row r="12" spans="1:4" x14ac:dyDescent="0.45">
      <c r="A12" s="13" t="s">
        <v>106</v>
      </c>
      <c r="B12" s="69" t="s">
        <v>38</v>
      </c>
      <c r="C12" s="69"/>
      <c r="D12" s="69"/>
    </row>
    <row r="13" spans="1:4" x14ac:dyDescent="0.45">
      <c r="A13" s="13" t="s">
        <v>107</v>
      </c>
      <c r="B13" s="69" t="s">
        <v>109</v>
      </c>
      <c r="C13" s="69"/>
      <c r="D13" s="69"/>
    </row>
    <row r="14" spans="1:4" x14ac:dyDescent="0.45">
      <c r="A14" s="13" t="s">
        <v>108</v>
      </c>
      <c r="B14" s="69" t="s">
        <v>110</v>
      </c>
      <c r="C14" s="69"/>
      <c r="D14" s="69"/>
    </row>
    <row r="15" spans="1:4" x14ac:dyDescent="0.45">
      <c r="A15" s="9" t="s">
        <v>111</v>
      </c>
      <c r="B15" s="9"/>
      <c r="C15" s="9"/>
      <c r="D15" s="7"/>
    </row>
    <row r="16" spans="1:4" x14ac:dyDescent="0.45">
      <c r="A16" s="46" t="s">
        <v>112</v>
      </c>
      <c r="B16" s="46" t="s">
        <v>113</v>
      </c>
      <c r="C16" s="46" t="s">
        <v>114</v>
      </c>
      <c r="D16" s="46" t="s">
        <v>115</v>
      </c>
    </row>
    <row r="17" spans="1:6" ht="128.25" x14ac:dyDescent="0.45">
      <c r="A17" s="47" t="s">
        <v>110</v>
      </c>
      <c r="B17" s="39" t="s">
        <v>130</v>
      </c>
      <c r="C17" s="50" t="s">
        <v>151</v>
      </c>
      <c r="D17" s="39" t="s">
        <v>144</v>
      </c>
      <c r="E17" s="39"/>
      <c r="F17" s="39"/>
    </row>
    <row r="18" spans="1:6" ht="99.75" x14ac:dyDescent="0.45">
      <c r="A18" s="47" t="s">
        <v>116</v>
      </c>
      <c r="B18" s="39" t="s">
        <v>131</v>
      </c>
      <c r="C18" s="39" t="s">
        <v>145</v>
      </c>
      <c r="D18" s="39" t="s">
        <v>132</v>
      </c>
      <c r="F18" s="39"/>
    </row>
    <row r="19" spans="1:6" ht="128.25" x14ac:dyDescent="0.45">
      <c r="A19" s="47" t="s">
        <v>117</v>
      </c>
      <c r="B19" s="39" t="s">
        <v>134</v>
      </c>
      <c r="C19" s="39" t="s">
        <v>135</v>
      </c>
      <c r="D19" s="39" t="s">
        <v>133</v>
      </c>
      <c r="E19" s="39"/>
    </row>
    <row r="20" spans="1:6" x14ac:dyDescent="0.45">
      <c r="A20" s="9" t="s">
        <v>118</v>
      </c>
      <c r="B20" s="9"/>
      <c r="C20" s="9"/>
      <c r="D20" s="7"/>
    </row>
    <row r="21" spans="1:6" ht="42.95" customHeight="1" x14ac:dyDescent="0.45">
      <c r="A21" s="66" t="s">
        <v>146</v>
      </c>
      <c r="B21" s="66"/>
      <c r="C21" s="66"/>
      <c r="D21" s="66"/>
    </row>
    <row r="22" spans="1:6" x14ac:dyDescent="0.45">
      <c r="A22" s="61" t="s">
        <v>147</v>
      </c>
      <c r="B22" s="13"/>
      <c r="C22" s="13"/>
      <c r="D22" s="13"/>
    </row>
    <row r="23" spans="1:6" x14ac:dyDescent="0.45">
      <c r="A23" s="48"/>
    </row>
  </sheetData>
  <mergeCells count="6">
    <mergeCell ref="A21:D21"/>
    <mergeCell ref="A1:D1"/>
    <mergeCell ref="A2:D2"/>
    <mergeCell ref="B12:D12"/>
    <mergeCell ref="B13:D13"/>
    <mergeCell ref="B14:D14"/>
  </mergeCells>
  <pageMargins left="0.7" right="0.7" top="0.75" bottom="0.75" header="0.3" footer="0.3"/>
  <pageSetup paperSize="9" scale="78" fitToHeight="0" orientation="landscape" r:id="rId1"/>
</worksheet>
</file>

<file path=docMetadata/LabelInfo.xml><?xml version="1.0" encoding="utf-8"?>
<clbl:labelList xmlns:clbl="http://schemas.microsoft.com/office/2020/mipLabelMetadata">
  <clbl:label id="{377e3d22-4ea1-422d-b0ad-8fcc89406b9e}" enabled="0" method="" siteId="{377e3d22-4ea1-422d-b0ad-8fcc89406b9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Company Overview</vt:lpstr>
      <vt:lpstr>Financial Statements</vt:lpstr>
      <vt:lpstr>Ratio Analysis</vt:lpstr>
      <vt:lpstr>Earnings Quality</vt:lpstr>
      <vt:lpstr>Audit Risk</vt:lpstr>
      <vt:lpstr>'Audit Risk'!Print_Area</vt:lpstr>
      <vt:lpstr>'Company Overview'!Print_Area</vt:lpstr>
      <vt:lpstr>'Earnings Quality'!Print_Area</vt:lpstr>
      <vt:lpstr>'Financial Statements'!Print_Area</vt:lpstr>
      <vt:lpstr>'Ratio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Matthews</dc:creator>
  <cp:lastModifiedBy>Patrick Matthews</cp:lastModifiedBy>
  <cp:lastPrinted>2026-10-26T11:59:03Z</cp:lastPrinted>
  <dcterms:created xsi:type="dcterms:W3CDTF">2026-10-07T16:23:57Z</dcterms:created>
  <dcterms:modified xsi:type="dcterms:W3CDTF">2026-10-26T12:00:44Z</dcterms:modified>
</cp:coreProperties>
</file>